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asmin\Side Project\"/>
    </mc:Choice>
  </mc:AlternateContent>
  <xr:revisionPtr revIDLastSave="0" documentId="8_{8283E079-FD37-4ED0-A09F-596968EC8C4C}" xr6:coauthVersionLast="47" xr6:coauthVersionMax="47" xr10:uidLastSave="{00000000-0000-0000-0000-000000000000}"/>
  <bookViews>
    <workbookView xWindow="-120" yWindow="-120" windowWidth="29040" windowHeight="15720" xr2:uid="{5D5B0981-3AC2-4BB6-902F-8F4D69841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I10" i="1" s="1"/>
  <c r="H5" i="1"/>
  <c r="I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tc={6ACE6F50-E211-4A93-AE82-929B6DFCF803}</author>
    <author>tc={2530627E-9DE4-491F-9ACD-BAA1FA5DEF1F}</author>
    <author>tc={7E17D6C1-FAB8-41C4-93C3-62EA961053FB}</author>
  </authors>
  <commentList>
    <comment ref="K3" authorId="0" shapeId="0" xr:uid="{6ACE6F50-E211-4A93-AE82-929B6DFCF80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Pengecekan jika kurun waktu manual kosong maka logic existing berjalan seperti biasa</t>
      </text>
    </comment>
    <comment ref="L3" authorId="1" shapeId="0" xr:uid="{2530627E-9DE4-491F-9ACD-BAA1FA5DEF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Jika kosong menghitung jumlah naskah sesuai flow existing
</t>
      </text>
    </comment>
    <comment ref="H5" authorId="2" shapeId="0" xr:uid="{7E17D6C1-FAB8-41C4-93C3-62EA961053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Masuk ke dua kolom tanggal tutup dan tanggal mandiri pada db </t>
      </text>
    </comment>
  </commentList>
</comments>
</file>

<file path=xl/sharedStrings.xml><?xml version="1.0" encoding="utf-8"?>
<sst xmlns="http://schemas.openxmlformats.org/spreadsheetml/2006/main" count="179" uniqueCount="91">
  <si>
    <t>Daftar Arsip</t>
  </si>
  <si>
    <t>No Kode Pelaksana</t>
  </si>
  <si>
    <t>Unit Pengolah</t>
  </si>
  <si>
    <t>Nomor Berkas</t>
  </si>
  <si>
    <t>Kode Klasifikasi</t>
  </si>
  <si>
    <t>Retensi</t>
  </si>
  <si>
    <t>Judul Berkas (Indeks)</t>
  </si>
  <si>
    <t>Tanggal Berkas/ Tanggal Close File</t>
  </si>
  <si>
    <t>Tahun Musnah/ Serah</t>
  </si>
  <si>
    <t>Uraian Informasi Berkas</t>
  </si>
  <si>
    <t xml:space="preserve">Kurun Waktu -Manual  </t>
  </si>
  <si>
    <t>Jumlah Arsip</t>
  </si>
  <si>
    <t>Tingkat Perkembangan</t>
  </si>
  <si>
    <t>Lokasi Simpan</t>
  </si>
  <si>
    <t>Keterangan (Kondisi, dll)</t>
  </si>
  <si>
    <t>Arsip Vital</t>
  </si>
  <si>
    <t>Arsip Terjaga</t>
  </si>
  <si>
    <t>Arsip MKB</t>
  </si>
  <si>
    <t>Penyusutan</t>
  </si>
  <si>
    <t>Status Berkas</t>
  </si>
  <si>
    <t>Aktif</t>
  </si>
  <si>
    <t>Inaktif</t>
  </si>
  <si>
    <t>Gedung/ Ruang</t>
  </si>
  <si>
    <t>No Rak</t>
  </si>
  <si>
    <t>No Boks</t>
  </si>
  <si>
    <t>Arsip Aset</t>
  </si>
  <si>
    <t>ZA.2732</t>
  </si>
  <si>
    <t>Keuangan &amp; SDM</t>
  </si>
  <si>
    <t>KU.01.02</t>
  </si>
  <si>
    <t>Surat Keputusan Direksi Perum Pelabuhan II Nomor: KU.20/1/1/PP.II-1990 tentang Rencana Kerja dan Anggaran tahun 1990 (Triwulan I sampai dengan IV)</t>
  </si>
  <si>
    <t>Surat Keputusan Direksi Perum Pelabuhan II Nomor: KU.20/1/1/PP.II-1990 tentang Rencana Kerja dan Anggaran tahun 1990 (Triwulan I sampai dengan IV), 1 Folder, Asli dan Kopi, Baik</t>
  </si>
  <si>
    <t>1989-1990</t>
  </si>
  <si>
    <t>1 Folder</t>
  </si>
  <si>
    <t>Asli dan Kopi</t>
  </si>
  <si>
    <t>Gedung A/ Ruang Ahu</t>
  </si>
  <si>
    <t>Baik</t>
  </si>
  <si>
    <t>V</t>
  </si>
  <si>
    <t>Musnah/ Permanen</t>
  </si>
  <si>
    <t>BUKA/TUTUP</t>
  </si>
  <si>
    <t>ZA.2313</t>
  </si>
  <si>
    <t>KU.203</t>
  </si>
  <si>
    <t>Surat dari Direktur Keuangan Direksi PT Pelabuhan Indonesia II (Persero) kepada Para General Manager Cabang Pelabuhan PT Pelabuhan Indonesia II (Persero) Nomor: KU.203/5/9/PI.II-93 tanggal 11 Maret 1993 tentang Penyesuaian Gaji Pokok Pegawai Negeri Sipil</t>
  </si>
  <si>
    <t>Surat dari Direktur Keuangan Direksi PT Pelabuhan Indonesia II (Persero) kepada Para General Manager Cabang Pelabuhan PT Pelabuhan Indonesia II (Persero) Nomor: KU.203/5/9/PI.II-93 tanggal 11 Maret 1993 tentang Penyesuaian Gaji Pokok Pegawai Negeri Sipil, 1 Folder, Asli dan Kopi, Baik</t>
  </si>
  <si>
    <t>Nama Pengirim</t>
  </si>
  <si>
    <t>Jabatan Pengirim</t>
  </si>
  <si>
    <t>Instansi Pengirim</t>
  </si>
  <si>
    <t>Jenis Naskah</t>
  </si>
  <si>
    <t>Sifat Naskah</t>
  </si>
  <si>
    <t>Tingkat Urgensi</t>
  </si>
  <si>
    <t>Nomor Naskah</t>
  </si>
  <si>
    <t>Nomor Referensi</t>
  </si>
  <si>
    <t>Tanggal Naskah</t>
  </si>
  <si>
    <t>Tanggal Diterima</t>
  </si>
  <si>
    <t>Tipe Naskah</t>
  </si>
  <si>
    <t>Jenis Perkembangan</t>
  </si>
  <si>
    <t>Tipe Tanda Tangan</t>
  </si>
  <si>
    <t>Hal</t>
  </si>
  <si>
    <t>Isi Ringkas</t>
  </si>
  <si>
    <t>Tujuan Naskah 
(jika lebih dari satu gunakan ; sebagai pemisah tanpa spasi setelahnya)</t>
  </si>
  <si>
    <t>Tembusan
(jika lebih dari satu gunakan ; sebagai pemisah tanpa spasi setelahnya)</t>
  </si>
  <si>
    <t>Nesta Maulana</t>
  </si>
  <si>
    <t>CEO DUNIAKU</t>
  </si>
  <si>
    <t>PT PT Dua Ribu</t>
  </si>
  <si>
    <t>Penawaran duniawi</t>
  </si>
  <si>
    <t>Penting</t>
  </si>
  <si>
    <t>Penting Banget</t>
  </si>
  <si>
    <t>Naskah.0001.002</t>
  </si>
  <si>
    <t>Ref.001.002</t>
  </si>
  <si>
    <t>NASKAH MASUK</t>
  </si>
  <si>
    <t>ASLI</t>
  </si>
  <si>
    <t>TTE</t>
  </si>
  <si>
    <t>Hal hal upload duniawi</t>
  </si>
  <si>
    <t>Isi ringkasan yang meringkas 1</t>
  </si>
  <si>
    <t>Tujuan Upload</t>
  </si>
  <si>
    <t>Tembusan Upload</t>
  </si>
  <si>
    <t>Maulana Nesta</t>
  </si>
  <si>
    <t>CEO DUNIAMU</t>
  </si>
  <si>
    <t>PT Tiga Ribu</t>
  </si>
  <si>
    <t>Naskah.0001.003</t>
  </si>
  <si>
    <t>Ref.001.003</t>
  </si>
  <si>
    <t>Hal Hal Upload Duniawi 2</t>
  </si>
  <si>
    <t>Isi ringkasan yang meringkas 2</t>
  </si>
  <si>
    <t>Tujuan Upload 1;Tujuan Upload 2;</t>
  </si>
  <si>
    <t>Tembusan Upload 1;Tembusan Upload 2</t>
  </si>
  <si>
    <t>Maman Abdurahman</t>
  </si>
  <si>
    <t>CEO DUNIADIA</t>
  </si>
  <si>
    <t>PT Empat Ribu</t>
  </si>
  <si>
    <t>Naskah.0001.004</t>
  </si>
  <si>
    <t>Ref.002.003</t>
  </si>
  <si>
    <t>Hal Hal Upload Duniawi 3</t>
  </si>
  <si>
    <t>Isi ringkasan yang meringkas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</si>
</sst>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15" fontId="0" fillId="3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/>
    <xf numFmtId="14" fontId="0" fillId="6" borderId="1" xfId="0" applyNumberForma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sta maulana" id="{2F04989C-D50E-4547-BDDE-213263266551}" userId="S::nesta.maulana@sijamal.co.id::f57b1227-039d-4b08-92f0-6fd5880da5c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3-08-08T13:20:54.54" personId="{2F04989C-D50E-4547-BDDE-213263266551}" id="{6ACE6F50-E211-4A93-AE82-929B6DFCF803}">
    <text>Pengecekan jika kurun waktu manual kosong maka logic existing berjalan seperti biasa</text>
  </threadedComment>
  <threadedComment ref="L3" dT="2023-08-08T13:21:50.43" personId="{2F04989C-D50E-4547-BDDE-213263266551}" id="{2530627E-9DE4-491F-9ACD-BAA1FA5DEF1F}">
    <text xml:space="preserve">Jika kosong menghitung jumlah naskah sesuai flow existing
</text>
  </threadedComment>
  <threadedComment ref="H5" dT="2023-08-08T13:31:20.80" personId="{2F04989C-D50E-4547-BDDE-213263266551}" id="{7E17D6C1-FAB8-41C4-93C3-62EA961053FB}">
    <text xml:space="preserve">Masuk ke dua kolom tanggal tutup dan tanggal mandiri pada db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39B5-537A-48F9-B654-024E3559D870}">
  <dimension ref="A1:V14"/>
  <sheetViews>
    <sheetView tabSelected="1" topLeftCell="N1" workbookViewId="0">
      <selection activeCell="U5" sqref="U5"/>
    </sheetView>
  </sheetViews>
  <sheetFormatPr defaultColWidth="26.140625" defaultRowHeight="15" x14ac:dyDescent="0.25"/>
  <cols>
    <col min="18" max="18" width="37" bestFit="1" customWidth="1"/>
  </cols>
  <sheetData>
    <row r="1" spans="1:22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x14ac:dyDescent="0.25">
      <c r="A2" s="20"/>
      <c r="B2" s="16"/>
      <c r="C2" s="17"/>
      <c r="D2" s="18"/>
      <c r="E2" s="3"/>
      <c r="F2" s="3"/>
      <c r="G2" s="3"/>
      <c r="H2" s="17"/>
      <c r="I2" s="19"/>
      <c r="J2" s="18"/>
      <c r="K2" s="19"/>
      <c r="L2" s="23"/>
      <c r="M2" s="20"/>
      <c r="N2" s="17"/>
      <c r="O2" s="17"/>
      <c r="P2" s="17"/>
      <c r="Q2" s="21"/>
      <c r="R2" s="17"/>
      <c r="S2" s="17"/>
      <c r="T2" s="17"/>
      <c r="U2" s="18"/>
      <c r="V2" s="18"/>
    </row>
    <row r="3" spans="1:22" x14ac:dyDescent="0.25">
      <c r="A3" s="33" t="s">
        <v>1</v>
      </c>
      <c r="B3" s="30" t="s">
        <v>2</v>
      </c>
      <c r="C3" s="29" t="s">
        <v>3</v>
      </c>
      <c r="D3" s="29" t="s">
        <v>4</v>
      </c>
      <c r="E3" s="29" t="s">
        <v>5</v>
      </c>
      <c r="F3" s="29"/>
      <c r="G3" s="29" t="s">
        <v>6</v>
      </c>
      <c r="H3" s="29" t="s">
        <v>7</v>
      </c>
      <c r="I3" s="30" t="s">
        <v>8</v>
      </c>
      <c r="J3" s="29" t="s">
        <v>9</v>
      </c>
      <c r="K3" s="30" t="s">
        <v>10</v>
      </c>
      <c r="L3" s="32" t="s">
        <v>11</v>
      </c>
      <c r="M3" s="33" t="s">
        <v>12</v>
      </c>
      <c r="N3" s="29" t="s">
        <v>13</v>
      </c>
      <c r="O3" s="29"/>
      <c r="P3" s="29"/>
      <c r="Q3" s="33" t="s">
        <v>14</v>
      </c>
      <c r="R3" s="1" t="s">
        <v>15</v>
      </c>
      <c r="S3" s="29" t="s">
        <v>16</v>
      </c>
      <c r="T3" s="29" t="s">
        <v>17</v>
      </c>
      <c r="U3" s="29" t="s">
        <v>18</v>
      </c>
      <c r="V3" s="29" t="s">
        <v>19</v>
      </c>
    </row>
    <row r="4" spans="1:22" x14ac:dyDescent="0.25">
      <c r="A4" s="33"/>
      <c r="B4" s="30"/>
      <c r="C4" s="29"/>
      <c r="D4" s="29"/>
      <c r="E4" s="1" t="s">
        <v>20</v>
      </c>
      <c r="F4" s="1" t="s">
        <v>21</v>
      </c>
      <c r="G4" s="29"/>
      <c r="H4" s="29"/>
      <c r="I4" s="30"/>
      <c r="J4" s="29"/>
      <c r="K4" s="30"/>
      <c r="L4" s="32"/>
      <c r="M4" s="33"/>
      <c r="N4" s="1" t="s">
        <v>22</v>
      </c>
      <c r="O4" s="1" t="s">
        <v>23</v>
      </c>
      <c r="P4" s="1" t="s">
        <v>24</v>
      </c>
      <c r="Q4" s="33"/>
      <c r="R4" s="1" t="s">
        <v>25</v>
      </c>
      <c r="S4" s="29"/>
      <c r="T4" s="29"/>
      <c r="U4" s="29"/>
      <c r="V4" s="29"/>
    </row>
    <row r="5" spans="1:22" ht="120" x14ac:dyDescent="0.25">
      <c r="A5" s="22" t="s">
        <v>26</v>
      </c>
      <c r="B5" s="2" t="s">
        <v>27</v>
      </c>
      <c r="C5" s="3">
        <v>1</v>
      </c>
      <c r="D5" s="4" t="s">
        <v>28</v>
      </c>
      <c r="E5" s="3">
        <v>1</v>
      </c>
      <c r="F5" s="3">
        <v>2</v>
      </c>
      <c r="G5" s="5" t="s">
        <v>29</v>
      </c>
      <c r="H5" s="6" t="str">
        <f>"31/12/"&amp; RIGHT(K5,4)</f>
        <v>31/12/1990</v>
      </c>
      <c r="I5" s="7">
        <f>YEAR(H5)+E5+F5</f>
        <v>1993</v>
      </c>
      <c r="J5" s="8" t="s">
        <v>30</v>
      </c>
      <c r="K5" s="9" t="s">
        <v>31</v>
      </c>
      <c r="L5" s="24" t="s">
        <v>32</v>
      </c>
      <c r="M5" s="10" t="s">
        <v>33</v>
      </c>
      <c r="N5" s="11" t="s">
        <v>34</v>
      </c>
      <c r="O5" s="3">
        <v>2</v>
      </c>
      <c r="P5" s="3">
        <v>3</v>
      </c>
      <c r="Q5" s="12" t="s">
        <v>35</v>
      </c>
      <c r="R5" s="3" t="s">
        <v>36</v>
      </c>
      <c r="S5" s="3" t="s">
        <v>36</v>
      </c>
      <c r="T5" s="3" t="s">
        <v>36</v>
      </c>
      <c r="U5" s="4" t="s">
        <v>37</v>
      </c>
      <c r="V5" s="4" t="s">
        <v>38</v>
      </c>
    </row>
    <row r="6" spans="1:22" ht="60" x14ac:dyDescent="0.25">
      <c r="B6" s="25" t="s">
        <v>43</v>
      </c>
      <c r="C6" s="25" t="s">
        <v>44</v>
      </c>
      <c r="D6" s="25" t="s">
        <v>45</v>
      </c>
      <c r="E6" s="25" t="s">
        <v>46</v>
      </c>
      <c r="F6" s="25" t="s">
        <v>47</v>
      </c>
      <c r="G6" s="25" t="s">
        <v>48</v>
      </c>
      <c r="H6" s="25" t="s">
        <v>49</v>
      </c>
      <c r="I6" s="25" t="s">
        <v>50</v>
      </c>
      <c r="J6" s="25" t="s">
        <v>51</v>
      </c>
      <c r="K6" s="25" t="s">
        <v>52</v>
      </c>
      <c r="L6" s="25" t="s">
        <v>53</v>
      </c>
      <c r="M6" s="25" t="s">
        <v>54</v>
      </c>
      <c r="N6" s="25" t="s">
        <v>55</v>
      </c>
      <c r="O6" s="25" t="s">
        <v>56</v>
      </c>
      <c r="P6" s="25" t="s">
        <v>57</v>
      </c>
      <c r="Q6" s="26" t="s">
        <v>58</v>
      </c>
      <c r="R6" s="26" t="s">
        <v>59</v>
      </c>
      <c r="S6" s="3"/>
      <c r="T6" s="3"/>
      <c r="U6" s="4"/>
      <c r="V6" s="4"/>
    </row>
    <row r="7" spans="1:22" x14ac:dyDescent="0.25">
      <c r="B7" s="27" t="s">
        <v>60</v>
      </c>
      <c r="C7" s="27" t="s">
        <v>61</v>
      </c>
      <c r="D7" s="27" t="s">
        <v>62</v>
      </c>
      <c r="E7" s="27" t="s">
        <v>63</v>
      </c>
      <c r="F7" s="27" t="s">
        <v>64</v>
      </c>
      <c r="G7" s="27" t="s">
        <v>65</v>
      </c>
      <c r="H7" s="27" t="s">
        <v>66</v>
      </c>
      <c r="I7" s="27" t="s">
        <v>67</v>
      </c>
      <c r="J7" s="28">
        <v>45142</v>
      </c>
      <c r="K7" s="28">
        <v>45142</v>
      </c>
      <c r="L7" s="27" t="s">
        <v>68</v>
      </c>
      <c r="M7" s="27" t="s">
        <v>69</v>
      </c>
      <c r="N7" s="27" t="s">
        <v>70</v>
      </c>
      <c r="O7" s="27" t="s">
        <v>71</v>
      </c>
      <c r="P7" s="27" t="s">
        <v>72</v>
      </c>
      <c r="Q7" s="27" t="s">
        <v>73</v>
      </c>
      <c r="R7" s="27" t="s">
        <v>74</v>
      </c>
      <c r="S7" s="3"/>
      <c r="T7" s="3"/>
      <c r="U7" s="4"/>
      <c r="V7" s="4"/>
    </row>
    <row r="8" spans="1:22" x14ac:dyDescent="0.25">
      <c r="B8" s="27" t="s">
        <v>75</v>
      </c>
      <c r="C8" s="27" t="s">
        <v>76</v>
      </c>
      <c r="D8" s="27" t="s">
        <v>77</v>
      </c>
      <c r="E8" s="27" t="s">
        <v>63</v>
      </c>
      <c r="F8" s="27" t="s">
        <v>64</v>
      </c>
      <c r="G8" s="27" t="s">
        <v>65</v>
      </c>
      <c r="H8" s="27" t="s">
        <v>78</v>
      </c>
      <c r="I8" s="27" t="s">
        <v>79</v>
      </c>
      <c r="J8" s="28">
        <v>45142</v>
      </c>
      <c r="K8" s="28">
        <v>45142</v>
      </c>
      <c r="L8" s="27" t="s">
        <v>68</v>
      </c>
      <c r="M8" s="27" t="s">
        <v>69</v>
      </c>
      <c r="N8" s="27" t="s">
        <v>70</v>
      </c>
      <c r="O8" s="27" t="s">
        <v>80</v>
      </c>
      <c r="P8" s="27" t="s">
        <v>81</v>
      </c>
      <c r="Q8" s="27" t="s">
        <v>82</v>
      </c>
      <c r="R8" s="27" t="s">
        <v>83</v>
      </c>
      <c r="S8" s="3"/>
      <c r="T8" s="3"/>
      <c r="U8" s="4"/>
      <c r="V8" s="4"/>
    </row>
    <row r="9" spans="1:22" x14ac:dyDescent="0.25">
      <c r="B9" s="27" t="s">
        <v>84</v>
      </c>
      <c r="C9" s="27" t="s">
        <v>85</v>
      </c>
      <c r="D9" s="27" t="s">
        <v>86</v>
      </c>
      <c r="E9" s="27" t="s">
        <v>63</v>
      </c>
      <c r="F9" s="27" t="s">
        <v>64</v>
      </c>
      <c r="G9" s="27" t="s">
        <v>65</v>
      </c>
      <c r="H9" s="27" t="s">
        <v>87</v>
      </c>
      <c r="I9" s="27" t="s">
        <v>88</v>
      </c>
      <c r="J9" s="28">
        <v>45142</v>
      </c>
      <c r="K9" s="28">
        <v>45142</v>
      </c>
      <c r="L9" s="27" t="s">
        <v>68</v>
      </c>
      <c r="M9" s="27" t="s">
        <v>69</v>
      </c>
      <c r="N9" s="27" t="s">
        <v>70</v>
      </c>
      <c r="O9" s="27" t="s">
        <v>89</v>
      </c>
      <c r="P9" s="27" t="s">
        <v>90</v>
      </c>
      <c r="Q9" s="27" t="s">
        <v>82</v>
      </c>
      <c r="R9" s="27" t="s">
        <v>83</v>
      </c>
      <c r="S9" s="3"/>
      <c r="T9" s="3"/>
      <c r="U9" s="4"/>
      <c r="V9" s="4"/>
    </row>
    <row r="10" spans="1:22" ht="180" x14ac:dyDescent="0.25">
      <c r="A10" s="22" t="s">
        <v>39</v>
      </c>
      <c r="B10" s="13" t="s">
        <v>27</v>
      </c>
      <c r="C10" s="14">
        <v>196</v>
      </c>
      <c r="D10" s="15" t="s">
        <v>40</v>
      </c>
      <c r="E10" s="3">
        <v>1</v>
      </c>
      <c r="F10" s="3">
        <v>2</v>
      </c>
      <c r="G10" s="5" t="s">
        <v>41</v>
      </c>
      <c r="H10" s="6" t="str">
        <f>"31/12/"&amp; RIGHT(K10,4)</f>
        <v>31/12/1993</v>
      </c>
      <c r="I10" s="7">
        <f>YEAR(H10)+E10+F10</f>
        <v>1996</v>
      </c>
      <c r="J10" s="8" t="s">
        <v>42</v>
      </c>
      <c r="K10" s="9">
        <v>1993</v>
      </c>
      <c r="L10" s="24" t="s">
        <v>32</v>
      </c>
      <c r="M10" s="10" t="s">
        <v>33</v>
      </c>
      <c r="N10" s="11" t="s">
        <v>34</v>
      </c>
      <c r="O10" s="3">
        <v>3</v>
      </c>
      <c r="P10" s="3">
        <v>3</v>
      </c>
      <c r="Q10" s="12" t="s">
        <v>35</v>
      </c>
      <c r="R10" s="3" t="s">
        <v>36</v>
      </c>
      <c r="S10" s="3" t="s">
        <v>36</v>
      </c>
      <c r="T10" s="3" t="s">
        <v>36</v>
      </c>
      <c r="U10" s="4" t="s">
        <v>37</v>
      </c>
      <c r="V10" s="4" t="s">
        <v>38</v>
      </c>
    </row>
    <row r="11" spans="1:22" ht="60" x14ac:dyDescent="0.25">
      <c r="B11" s="25" t="s">
        <v>43</v>
      </c>
      <c r="C11" s="25" t="s">
        <v>44</v>
      </c>
      <c r="D11" s="25" t="s">
        <v>45</v>
      </c>
      <c r="E11" s="25" t="s">
        <v>46</v>
      </c>
      <c r="F11" s="25" t="s">
        <v>47</v>
      </c>
      <c r="G11" s="25" t="s">
        <v>48</v>
      </c>
      <c r="H11" s="25" t="s">
        <v>49</v>
      </c>
      <c r="I11" s="25" t="s">
        <v>50</v>
      </c>
      <c r="J11" s="25" t="s">
        <v>51</v>
      </c>
      <c r="K11" s="25" t="s">
        <v>52</v>
      </c>
      <c r="L11" s="25" t="s">
        <v>53</v>
      </c>
      <c r="M11" s="25" t="s">
        <v>54</v>
      </c>
      <c r="N11" s="25" t="s">
        <v>55</v>
      </c>
      <c r="O11" s="25" t="s">
        <v>56</v>
      </c>
      <c r="P11" s="25" t="s">
        <v>57</v>
      </c>
      <c r="Q11" s="26" t="s">
        <v>58</v>
      </c>
      <c r="R11" s="26" t="s">
        <v>59</v>
      </c>
    </row>
    <row r="12" spans="1:22" x14ac:dyDescent="0.25">
      <c r="B12" s="27" t="s">
        <v>60</v>
      </c>
      <c r="C12" s="27" t="s">
        <v>61</v>
      </c>
      <c r="D12" s="27" t="s">
        <v>62</v>
      </c>
      <c r="E12" s="27" t="s">
        <v>63</v>
      </c>
      <c r="F12" s="27" t="s">
        <v>64</v>
      </c>
      <c r="G12" s="27" t="s">
        <v>65</v>
      </c>
      <c r="H12" s="27" t="s">
        <v>66</v>
      </c>
      <c r="I12" s="27" t="s">
        <v>67</v>
      </c>
      <c r="J12" s="28">
        <v>45142</v>
      </c>
      <c r="K12" s="28">
        <v>45142</v>
      </c>
      <c r="L12" s="27" t="s">
        <v>68</v>
      </c>
      <c r="M12" s="27" t="s">
        <v>69</v>
      </c>
      <c r="N12" s="27" t="s">
        <v>70</v>
      </c>
      <c r="O12" s="27" t="s">
        <v>71</v>
      </c>
      <c r="P12" s="27" t="s">
        <v>72</v>
      </c>
      <c r="Q12" s="27" t="s">
        <v>73</v>
      </c>
      <c r="R12" s="27" t="s">
        <v>74</v>
      </c>
    </row>
    <row r="13" spans="1:22" x14ac:dyDescent="0.25">
      <c r="B13" s="27" t="s">
        <v>75</v>
      </c>
      <c r="C13" s="27" t="s">
        <v>76</v>
      </c>
      <c r="D13" s="27" t="s">
        <v>77</v>
      </c>
      <c r="E13" s="27" t="s">
        <v>63</v>
      </c>
      <c r="F13" s="27" t="s">
        <v>64</v>
      </c>
      <c r="G13" s="27" t="s">
        <v>65</v>
      </c>
      <c r="H13" s="27" t="s">
        <v>78</v>
      </c>
      <c r="I13" s="27" t="s">
        <v>79</v>
      </c>
      <c r="J13" s="28">
        <v>45142</v>
      </c>
      <c r="K13" s="28">
        <v>45142</v>
      </c>
      <c r="L13" s="27" t="s">
        <v>68</v>
      </c>
      <c r="M13" s="27" t="s">
        <v>69</v>
      </c>
      <c r="N13" s="27" t="s">
        <v>70</v>
      </c>
      <c r="O13" s="27" t="s">
        <v>80</v>
      </c>
      <c r="P13" s="27" t="s">
        <v>81</v>
      </c>
      <c r="Q13" s="27" t="s">
        <v>82</v>
      </c>
      <c r="R13" s="27" t="s">
        <v>83</v>
      </c>
    </row>
    <row r="14" spans="1:22" x14ac:dyDescent="0.25">
      <c r="B14" s="27" t="s">
        <v>84</v>
      </c>
      <c r="C14" s="27" t="s">
        <v>85</v>
      </c>
      <c r="D14" s="27" t="s">
        <v>86</v>
      </c>
      <c r="E14" s="27" t="s">
        <v>63</v>
      </c>
      <c r="F14" s="27" t="s">
        <v>64</v>
      </c>
      <c r="G14" s="27" t="s">
        <v>65</v>
      </c>
      <c r="H14" s="27" t="s">
        <v>87</v>
      </c>
      <c r="I14" s="27" t="s">
        <v>88</v>
      </c>
      <c r="J14" s="28">
        <v>45142</v>
      </c>
      <c r="K14" s="28">
        <v>45142</v>
      </c>
      <c r="L14" s="27" t="s">
        <v>68</v>
      </c>
      <c r="M14" s="27" t="s">
        <v>69</v>
      </c>
      <c r="N14" s="27" t="s">
        <v>70</v>
      </c>
      <c r="O14" s="27" t="s">
        <v>89</v>
      </c>
      <c r="P14" s="27" t="s">
        <v>90</v>
      </c>
      <c r="Q14" s="27" t="s">
        <v>82</v>
      </c>
      <c r="R14" s="27" t="s">
        <v>83</v>
      </c>
    </row>
  </sheetData>
  <mergeCells count="19">
    <mergeCell ref="V3:V4"/>
    <mergeCell ref="A1:V1"/>
    <mergeCell ref="K3:K4"/>
    <mergeCell ref="L3:L4"/>
    <mergeCell ref="M3:M4"/>
    <mergeCell ref="N3:P3"/>
    <mergeCell ref="Q3:Q4"/>
    <mergeCell ref="S3:S4"/>
    <mergeCell ref="A3:A4"/>
    <mergeCell ref="B3:B4"/>
    <mergeCell ref="C3:C4"/>
    <mergeCell ref="D3:D4"/>
    <mergeCell ref="E3:F3"/>
    <mergeCell ref="G3:G4"/>
    <mergeCell ref="H3:H4"/>
    <mergeCell ref="I3:I4"/>
    <mergeCell ref="J3:J4"/>
    <mergeCell ref="T3:T4"/>
    <mergeCell ref="U3:U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Yudhistira HS</dc:creator>
  <cp:lastModifiedBy>Yasmin Adelia Puti Chaidir</cp:lastModifiedBy>
  <dcterms:created xsi:type="dcterms:W3CDTF">2023-08-17T15:41:37Z</dcterms:created>
  <dcterms:modified xsi:type="dcterms:W3CDTF">2024-02-09T04:13:10Z</dcterms:modified>
</cp:coreProperties>
</file>